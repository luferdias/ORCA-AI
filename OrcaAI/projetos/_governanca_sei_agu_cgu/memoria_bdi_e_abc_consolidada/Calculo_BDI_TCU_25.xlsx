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"/>
    </mc:Choice>
  </mc:AlternateContent>
  <xr:revisionPtr revIDLastSave="29" documentId="11_AB4FD547157FC82E6A6980F643A7BEB91199CF0F" xr6:coauthVersionLast="47" xr6:coauthVersionMax="47" xr10:uidLastSave="{F847B0C3-91F0-4FE5-88C9-0A27B365F42E}"/>
  <bookViews>
    <workbookView xWindow="-120" yWindow="-120" windowWidth="29040" windowHeight="15720" xr2:uid="{00000000-000D-0000-FFFF-FFFF00000000}"/>
  </bookViews>
  <sheets>
    <sheet name="Cálculo do BD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8" i="1" s="1"/>
</calcChain>
</file>

<file path=xl/sharedStrings.xml><?xml version="1.0" encoding="utf-8"?>
<sst xmlns="http://schemas.openxmlformats.org/spreadsheetml/2006/main" count="56" uniqueCount="53">
  <si>
    <t>CÁLCULO E SIMULAÇÃO DETALHADA DO BDI</t>
  </si>
  <si>
    <t>Referência: Acórdão TCU nº 2.622/2013 - Plenário | Regime: COM DESONERAÇÃO</t>
  </si>
  <si>
    <t>Item</t>
  </si>
  <si>
    <t>Componente do BDI</t>
  </si>
  <si>
    <t>Sigla</t>
  </si>
  <si>
    <t>Taxa (%)</t>
  </si>
  <si>
    <t>Justificativa / Parâmetro de Referência</t>
  </si>
  <si>
    <t>1.0</t>
  </si>
  <si>
    <t>Custos Indiretos e Margens</t>
  </si>
  <si>
    <t>1.1</t>
  </si>
  <si>
    <t>Administração Central</t>
  </si>
  <si>
    <t>AC</t>
  </si>
  <si>
    <t>Rateio dos custos administrativos de matriz compatível com complexidade do contrato.</t>
  </si>
  <si>
    <t>1.2</t>
  </si>
  <si>
    <t>Seguros</t>
  </si>
  <si>
    <t>S</t>
  </si>
  <si>
    <t>Cobertura de seguros de riscos de engenharia e responsabilidade civil.</t>
  </si>
  <si>
    <t>1.3</t>
  </si>
  <si>
    <t>Riscos</t>
  </si>
  <si>
    <t>R</t>
  </si>
  <si>
    <t>Provisão para imprevistos (trabalhos em altura, instalações elétricas e espaço confinado).</t>
  </si>
  <si>
    <t>1.4</t>
  </si>
  <si>
    <t>Garantias</t>
  </si>
  <si>
    <t>G</t>
  </si>
  <si>
    <t>Exigência contratual de garantia de execução financeira do objeto.</t>
  </si>
  <si>
    <t>1.5</t>
  </si>
  <si>
    <t>Despesas Financeiras</t>
  </si>
  <si>
    <t>DF</t>
  </si>
  <si>
    <t>Custo de oportunidade decorrente do fluxo de caixa e intervalo de pagamento.</t>
  </si>
  <si>
    <t>1.6</t>
  </si>
  <si>
    <t>Lucro (Remuneração)</t>
  </si>
  <si>
    <t>L</t>
  </si>
  <si>
    <t>Margem de remuneração bruta justa para execução do objeto.</t>
  </si>
  <si>
    <t>2.0</t>
  </si>
  <si>
    <t>Tributos Incidentes sobre o Faturamento</t>
  </si>
  <si>
    <t>2.1</t>
  </si>
  <si>
    <t>PIS</t>
  </si>
  <si>
    <t>Alíquota sob regime de incidência cumulativa (Lei 9.718/98).</t>
  </si>
  <si>
    <t>2.2</t>
  </si>
  <si>
    <t>COFINS</t>
  </si>
  <si>
    <t>2.3</t>
  </si>
  <si>
    <t>ISSQN</t>
  </si>
  <si>
    <t>ISS</t>
  </si>
  <si>
    <t>Imposto Sobre Serviços de Qualquer Natureza (alíquota local média).</t>
  </si>
  <si>
    <t>2.4</t>
  </si>
  <si>
    <t>Soma dos Tributos</t>
  </si>
  <si>
    <t>I</t>
  </si>
  <si>
    <t>Total de impostos que incidem sobre o preço de venda.</t>
  </si>
  <si>
    <t>3.0</t>
  </si>
  <si>
    <t>TAXA DE BDI CALCULADA (RESULTANTE)</t>
  </si>
  <si>
    <t>BDI</t>
  </si>
  <si>
    <t>Fórmula oficial do TCU aplicada sobre o custo direto.</t>
  </si>
  <si>
    <t>Fórmula de Referência TCU: BDI = [((1 + (AC + S + R + G)) * (1 + DF) * (1 + L)) / (1 - I)]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</si>
</sst>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97D"/>
      <name val="Segoe UI"/>
    </font>
    <font>
      <i/>
      <sz val="10"/>
      <color rgb="FF555555"/>
      <name val="Segoe UI"/>
    </font>
    <font>
      <b/>
      <sz val="11"/>
      <color rgb="FFFFFFFF"/>
      <name val="Segoe UI"/>
    </font>
    <font>
      <b/>
      <sz val="11"/>
      <color rgb="FF1F497D"/>
      <name val="Segoe UI"/>
    </font>
    <font>
      <sz val="10"/>
      <color rgb="FF333333"/>
      <name val="Segoe UI"/>
    </font>
    <font>
      <b/>
      <sz val="10"/>
      <color rgb="FF333333"/>
      <name val="Segoe UI"/>
    </font>
    <font>
      <i/>
      <sz val="9"/>
      <color rgb="FF555555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5F8"/>
        <bgColor rgb="FFF2F5F8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double">
        <color rgb="FF1F497D"/>
      </bottom>
      <diagonal/>
    </border>
    <border>
      <left style="thin">
        <color rgb="FFC0C0C0"/>
      </left>
      <right style="thin">
        <color rgb="FFC0C0C0"/>
      </right>
      <top style="medium">
        <color rgb="FF1F497D"/>
      </top>
      <bottom style="medium">
        <color rgb="FF1F497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0" fontId="5" fillId="0" borderId="1" xfId="0" applyNumberFormat="1" applyFont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10" fontId="6" fillId="4" borderId="2" xfId="0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10" fontId="4" fillId="3" borderId="3" xfId="0" applyNumberFormat="1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4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tabSelected="1" workbookViewId="0">
      <selection activeCell="J7" sqref="J7"/>
    </sheetView>
  </sheetViews>
  <sheetFormatPr defaultRowHeight="15" x14ac:dyDescent="0.25"/>
  <cols>
    <col min="1" max="1" width="8" customWidth="1"/>
    <col min="2" max="2" width="44.42578125" customWidth="1"/>
    <col min="3" max="3" width="8.140625" customWidth="1"/>
    <col min="4" max="4" width="14" customWidth="1"/>
    <col min="5" max="5" width="50.42578125" customWidth="1"/>
  </cols>
  <sheetData>
    <row r="1" spans="1:5" ht="30" customHeight="1" x14ac:dyDescent="0.25">
      <c r="A1" s="18" t="s">
        <v>0</v>
      </c>
      <c r="B1" s="16"/>
      <c r="C1" s="16"/>
      <c r="D1" s="16"/>
      <c r="E1" s="16"/>
    </row>
    <row r="2" spans="1:5" ht="20.100000000000001" customHeight="1" x14ac:dyDescent="0.25">
      <c r="A2" s="15" t="s">
        <v>1</v>
      </c>
      <c r="B2" s="16"/>
      <c r="C2" s="16"/>
      <c r="D2" s="16"/>
      <c r="E2" s="16"/>
    </row>
    <row r="4" spans="1:5" ht="26.1" customHeight="1" x14ac:dyDescent="0.25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</row>
    <row r="5" spans="1:5" ht="20.100000000000001" customHeight="1" x14ac:dyDescent="0.25">
      <c r="A5" s="3" t="s">
        <v>7</v>
      </c>
      <c r="B5" s="17" t="s">
        <v>8</v>
      </c>
      <c r="C5" s="16"/>
      <c r="D5" s="16"/>
      <c r="E5" s="16"/>
    </row>
    <row r="6" spans="1:5" ht="30.75" customHeight="1" x14ac:dyDescent="0.25">
      <c r="A6" s="4" t="s">
        <v>9</v>
      </c>
      <c r="B6" s="5" t="s">
        <v>10</v>
      </c>
      <c r="C6" s="4" t="s">
        <v>11</v>
      </c>
      <c r="D6" s="6">
        <v>3.7999999999999999E-2</v>
      </c>
      <c r="E6" s="20" t="s">
        <v>12</v>
      </c>
    </row>
    <row r="7" spans="1:5" ht="30" customHeight="1" x14ac:dyDescent="0.25">
      <c r="A7" s="4" t="s">
        <v>13</v>
      </c>
      <c r="B7" s="5" t="s">
        <v>14</v>
      </c>
      <c r="C7" s="4" t="s">
        <v>15</v>
      </c>
      <c r="D7" s="6">
        <v>8.0000000000000002E-3</v>
      </c>
      <c r="E7" s="20" t="s">
        <v>16</v>
      </c>
    </row>
    <row r="8" spans="1:5" ht="32.25" customHeight="1" x14ac:dyDescent="0.25">
      <c r="A8" s="4" t="s">
        <v>17</v>
      </c>
      <c r="B8" s="5" t="s">
        <v>18</v>
      </c>
      <c r="C8" s="4" t="s">
        <v>19</v>
      </c>
      <c r="D8" s="6">
        <v>0.01</v>
      </c>
      <c r="E8" s="20" t="s">
        <v>20</v>
      </c>
    </row>
    <row r="9" spans="1:5" ht="20.100000000000001" customHeight="1" x14ac:dyDescent="0.25">
      <c r="A9" s="4" t="s">
        <v>21</v>
      </c>
      <c r="B9" s="5" t="s">
        <v>22</v>
      </c>
      <c r="C9" s="4" t="s">
        <v>23</v>
      </c>
      <c r="D9" s="6">
        <v>9.5999999999999992E-3</v>
      </c>
      <c r="E9" s="20" t="s">
        <v>24</v>
      </c>
    </row>
    <row r="10" spans="1:5" ht="30" customHeight="1" x14ac:dyDescent="0.25">
      <c r="A10" s="4" t="s">
        <v>25</v>
      </c>
      <c r="B10" s="5" t="s">
        <v>26</v>
      </c>
      <c r="C10" s="4" t="s">
        <v>27</v>
      </c>
      <c r="D10" s="6">
        <v>0.01</v>
      </c>
      <c r="E10" s="20" t="s">
        <v>28</v>
      </c>
    </row>
    <row r="11" spans="1:5" ht="26.25" customHeight="1" x14ac:dyDescent="0.25">
      <c r="A11" s="4" t="s">
        <v>29</v>
      </c>
      <c r="B11" s="5" t="s">
        <v>30</v>
      </c>
      <c r="C11" s="4" t="s">
        <v>31</v>
      </c>
      <c r="D11" s="6">
        <v>6.0999999999999999E-2</v>
      </c>
      <c r="E11" s="20" t="s">
        <v>32</v>
      </c>
    </row>
    <row r="12" spans="1:5" ht="20.100000000000001" customHeight="1" x14ac:dyDescent="0.25">
      <c r="A12" s="3" t="s">
        <v>33</v>
      </c>
      <c r="B12" s="17" t="s">
        <v>34</v>
      </c>
      <c r="C12" s="16"/>
      <c r="D12" s="16"/>
      <c r="E12" s="16"/>
    </row>
    <row r="13" spans="1:5" ht="27.75" customHeight="1" x14ac:dyDescent="0.25">
      <c r="A13" s="4" t="s">
        <v>35</v>
      </c>
      <c r="B13" s="5" t="s">
        <v>36</v>
      </c>
      <c r="C13" s="4" t="s">
        <v>36</v>
      </c>
      <c r="D13" s="6">
        <v>6.4999999999999997E-3</v>
      </c>
      <c r="E13" s="20" t="s">
        <v>37</v>
      </c>
    </row>
    <row r="14" spans="1:5" ht="29.25" customHeight="1" x14ac:dyDescent="0.25">
      <c r="A14" s="4" t="s">
        <v>38</v>
      </c>
      <c r="B14" s="5" t="s">
        <v>39</v>
      </c>
      <c r="C14" s="4" t="s">
        <v>39</v>
      </c>
      <c r="D14" s="6">
        <v>0.03</v>
      </c>
      <c r="E14" s="20" t="s">
        <v>37</v>
      </c>
    </row>
    <row r="15" spans="1:5" ht="26.25" customHeight="1" x14ac:dyDescent="0.25">
      <c r="A15" s="4" t="s">
        <v>40</v>
      </c>
      <c r="B15" s="5" t="s">
        <v>41</v>
      </c>
      <c r="C15" s="4" t="s">
        <v>42</v>
      </c>
      <c r="D15" s="6">
        <v>0.05</v>
      </c>
      <c r="E15" s="20" t="s">
        <v>43</v>
      </c>
    </row>
    <row r="16" spans="1:5" ht="20.100000000000001" customHeight="1" x14ac:dyDescent="0.25">
      <c r="A16" s="7" t="s">
        <v>44</v>
      </c>
      <c r="B16" s="8" t="s">
        <v>45</v>
      </c>
      <c r="C16" s="7" t="s">
        <v>46</v>
      </c>
      <c r="D16" s="9">
        <f>SUM(D13:D15)</f>
        <v>8.6499999999999994E-2</v>
      </c>
      <c r="E16" s="8" t="s">
        <v>47</v>
      </c>
    </row>
    <row r="18" spans="1:5" ht="26.1" customHeight="1" x14ac:dyDescent="0.25">
      <c r="A18" s="10" t="s">
        <v>48</v>
      </c>
      <c r="B18" s="11" t="s">
        <v>49</v>
      </c>
      <c r="C18" s="12" t="s">
        <v>50</v>
      </c>
      <c r="D18" s="13">
        <f>ROUND((((1+(D6+D7+D8+D9))*(1+D10)*(1+D11))/(1-D16))-1, 4)</f>
        <v>0.25</v>
      </c>
      <c r="E18" s="14" t="s">
        <v>51</v>
      </c>
    </row>
    <row r="20" spans="1:5" x14ac:dyDescent="0.25">
      <c r="B20" s="19" t="s">
        <v>52</v>
      </c>
      <c r="C20" s="16"/>
      <c r="D20" s="16"/>
      <c r="E20" s="16"/>
    </row>
  </sheetData>
  <mergeCells count="5">
    <mergeCell ref="A2:E2"/>
    <mergeCell ref="B12:E12"/>
    <mergeCell ref="A1:E1"/>
    <mergeCell ref="B5:E5"/>
    <mergeCell ref="B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Cálculo do BDI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FERNANDO DIAS</cp:lastModifiedBy>
  <dcterms:created xsi:type="dcterms:W3CDTF">2026-06-03T16:36:54Z</dcterms:created>
  <dcterms:modified xsi:type="dcterms:W3CDTF">2026-06-03T16:53:10Z</dcterms:modified>
</cp:coreProperties>
</file>