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Orca/projetos/"/>
    </mc:Choice>
  </mc:AlternateContent>
  <xr:revisionPtr revIDLastSave="2" documentId="8_{9B7EEEE4-E5B9-4F7E-8C85-96DE63BA053A}" xr6:coauthVersionLast="47" xr6:coauthVersionMax="47" xr10:uidLastSave="{136EDA03-A6C9-4C53-94E1-938D43067B99}"/>
  <bookViews>
    <workbookView xWindow="-120" yWindow="-120" windowWidth="29040" windowHeight="15720" xr2:uid="{00000000-000D-0000-FFFF-FFFF00000000}"/>
  </bookViews>
  <sheets>
    <sheet name="Composição BDI" sheetId="1" r:id="rId1"/>
  </sheets>
  <definedNames>
    <definedName name="_xlnm.Print_Area" localSheetId="0">'Composição BDI'!$A$2:$L$30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18" i="1"/>
  <c r="L15" i="1"/>
  <c r="L12" i="1"/>
  <c r="L9" i="1"/>
  <c r="L6" i="1"/>
  <c r="L24" i="1"/>
</calcChain>
</file>

<file path=xl/sharedStrings.xml><?xml version="1.0" encoding="utf-8"?>
<sst xmlns="http://schemas.openxmlformats.org/spreadsheetml/2006/main" count="43" uniqueCount="37">
  <si>
    <t>Obra</t>
  </si>
  <si>
    <t>Bancos</t>
  </si>
  <si>
    <t>B.D.I.</t>
  </si>
  <si>
    <t>Encargos Sociais</t>
  </si>
  <si>
    <t>Reforma da Estrutura Suporte da CAG no Edifício Sede MGI/ES</t>
  </si>
  <si>
    <t xml:space="preserve">SINAPI - 06/2026 - Espírito Santo
SBC - 07/2026 - Espírito Santo
SICRO3 - 04/2026 - Espírito Santo
ORSE - 04/2026 - Sergipe
SEINFRA - 028 - Ceará
SETOP - 04/2026 - Minas Gerais
IOPES - 04/2026 - Espírito Santo
SIURB - 01/2026 - São Paulo
SIURB INFRA - 01/2026 - São Paulo
SUDECAP - 04/2026 - Minas Gerais
CPOS/CDHU - 06/2026 - São Paulo
FDE - 04/2026 - São Paulo
DERSP - 01/2026 - São Paulo
EMBASA - 06/2025 - sem_encargos
EMOP - 05/2026 - Rio de Janeiro
SCO - 05/2026 -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</si>
  <si>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</si>
  <si>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</si>
  <si>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</si>
  <si>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</si>
  <si>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</si>
  <si>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</si>
  <si>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Total do Grupo</t>
  </si>
  <si>
    <t>GRUPO B</t>
  </si>
  <si>
    <t>TAXA REPRESENTATIVA DOS RISCOS</t>
  </si>
  <si>
    <t>Riscos</t>
  </si>
  <si>
    <t>GRUPO C</t>
  </si>
  <si>
    <t>TAXA REPRESENTATIVA SEGURO GARANTIA</t>
  </si>
  <si>
    <t>Risco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</si>
  <si>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</si>
  <si>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</si>
  <si>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</si>
  <si>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</si>
  <si>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</si>
  <si>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</si>
  <si>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GRUPO F</t>
  </si>
  <si>
    <t>TAXA REPRESENTATIVA DA INCIDÊNCIA DOS IMPOSTOS ( SOBRE O FATURAMENTO DA EMPRESA )</t>
  </si>
  <si>
    <t>ISS (IMPOSTO SOBRE SERVIÇOS) - MUNICIPAL</t>
  </si>
  <si>
    <t>COFINS - FEDERAL</t>
  </si>
  <si>
    <t>PIS (PROGRAMA DE INTREGRAÇÃO SOCIAL) - FEDERAL</t>
  </si>
  <si>
    <t>CRB -CONTRIBUIÇÂO INSS (DESONERAÇÂO)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</si>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</sst>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10" fontId="6" fillId="7" borderId="0" xfId="0" applyNumberFormat="1" applyFont="1" applyFill="1" applyAlignment="1">
      <alignment horizontal="right" vertical="top" wrapText="1"/>
    </xf>
    <xf numFmtId="10" fontId="0" fillId="0" borderId="0" xfId="0" applyNumberFormat="1"/>
    <xf numFmtId="10" fontId="8" fillId="9" borderId="0" xfId="0" applyNumberFormat="1" applyFont="1" applyFill="1" applyAlignment="1" applyProtection="1">
      <alignment horizontal="right" vertical="top"/>
      <protection locked="0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DCE6F6-CEE1-422E-89A9-60616DA99991}">
  <we:reference id="wa200011056" version="1.0.0.2" store="en-US" storeType="OMEX"/>
  <we:alternateReferences>
    <we:reference id="WA200011056" version="1.0.0.2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D4507DE-8F25-47A0-AAFB-C1B447767CCD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4da75b8-14a9-4a6c-97e9-e340096199c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"/>
  <sheetViews>
    <sheetView tabSelected="1" showWhiteSpace="0" topLeftCell="A8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9" t="s">
        <v>2</v>
      </c>
      <c r="G1" s="9"/>
      <c r="H1" s="9"/>
      <c r="I1" s="9" t="s">
        <v>3</v>
      </c>
      <c r="J1" s="9"/>
      <c r="K1" s="9"/>
      <c r="L1" s="9"/>
    </row>
    <row r="2" spans="1:12" ht="80.099999999999994" customHeight="1" x14ac:dyDescent="0.2">
      <c r="A2" s="3"/>
      <c r="B2" s="3"/>
      <c r="C2" s="3"/>
      <c r="D2" s="3" t="s">
        <v>4</v>
      </c>
      <c r="E2" s="3" t="s">
        <v>5</v>
      </c>
      <c r="F2" s="10" t="s">
        <v>6</v>
      </c>
      <c r="G2" s="10"/>
      <c r="H2" s="10"/>
      <c r="I2" s="10" t="s">
        <v>7</v>
      </c>
      <c r="J2" s="10"/>
      <c r="K2" s="10"/>
      <c r="L2" s="10"/>
    </row>
    <row r="3" spans="1:12" ht="15" x14ac:dyDescent="0.25">
      <c r="A3" s="11" t="s">
        <v>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4" customHeight="1" x14ac:dyDescent="0.2">
      <c r="A4" s="2" t="s">
        <v>9</v>
      </c>
      <c r="B4" s="13" t="s">
        <v>10</v>
      </c>
      <c r="C4" s="13"/>
      <c r="D4" s="13"/>
      <c r="E4" s="13"/>
      <c r="F4" s="13"/>
      <c r="G4" s="13"/>
      <c r="H4" s="13"/>
      <c r="I4" s="13"/>
      <c r="J4" s="13"/>
      <c r="K4" s="13"/>
      <c r="L4" s="12"/>
    </row>
    <row r="5" spans="1:12" ht="24" customHeight="1" x14ac:dyDescent="0.2">
      <c r="A5" s="5">
        <v>1</v>
      </c>
      <c r="B5" s="14" t="s">
        <v>11</v>
      </c>
      <c r="C5" s="14"/>
      <c r="D5" s="14"/>
      <c r="E5" s="14"/>
      <c r="F5" s="14"/>
      <c r="G5" s="14"/>
      <c r="H5" s="14"/>
      <c r="I5" s="14"/>
      <c r="J5" s="14"/>
      <c r="K5" s="14"/>
      <c r="L5" s="8">
        <v>3.3799999999999997E-2</v>
      </c>
    </row>
    <row r="6" spans="1:12" x14ac:dyDescent="0.2">
      <c r="A6" s="5"/>
      <c r="B6" s="15" t="s">
        <v>12</v>
      </c>
      <c r="C6" s="14"/>
      <c r="D6" s="14"/>
      <c r="E6" s="14"/>
      <c r="F6" s="14"/>
      <c r="G6" s="14"/>
      <c r="H6" s="14"/>
      <c r="I6" s="14"/>
      <c r="J6" s="14"/>
      <c r="K6" s="14"/>
      <c r="L6" s="6">
        <f>L5</f>
        <v>3.3799999999999997E-2</v>
      </c>
    </row>
    <row r="7" spans="1:12" ht="24" customHeight="1" x14ac:dyDescent="0.2">
      <c r="A7" s="2" t="s">
        <v>13</v>
      </c>
      <c r="B7" s="13" t="s">
        <v>14</v>
      </c>
      <c r="C7" s="13"/>
      <c r="D7" s="13"/>
      <c r="E7" s="13"/>
      <c r="F7" s="13"/>
      <c r="G7" s="13"/>
      <c r="H7" s="13"/>
      <c r="I7" s="13"/>
      <c r="J7" s="13"/>
      <c r="K7" s="13"/>
      <c r="L7" s="12"/>
    </row>
    <row r="8" spans="1:12" ht="24" customHeight="1" x14ac:dyDescent="0.2">
      <c r="A8" s="5">
        <v>1</v>
      </c>
      <c r="B8" s="14" t="s">
        <v>15</v>
      </c>
      <c r="C8" s="14"/>
      <c r="D8" s="14"/>
      <c r="E8" s="14"/>
      <c r="F8" s="14"/>
      <c r="G8" s="14"/>
      <c r="H8" s="14"/>
      <c r="I8" s="14"/>
      <c r="J8" s="14"/>
      <c r="K8" s="14"/>
      <c r="L8" s="8">
        <v>8.5000000000000006E-3</v>
      </c>
    </row>
    <row r="9" spans="1:12" x14ac:dyDescent="0.2">
      <c r="A9" s="5"/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6">
        <f>L8</f>
        <v>8.5000000000000006E-3</v>
      </c>
    </row>
    <row r="10" spans="1:12" ht="24" customHeight="1" x14ac:dyDescent="0.2">
      <c r="A10" s="2" t="s">
        <v>16</v>
      </c>
      <c r="B10" s="13" t="s">
        <v>17</v>
      </c>
      <c r="C10" s="13"/>
      <c r="D10" s="13"/>
      <c r="E10" s="13"/>
      <c r="F10" s="13"/>
      <c r="G10" s="13"/>
      <c r="H10" s="13"/>
      <c r="I10" s="13"/>
      <c r="J10" s="13"/>
      <c r="K10" s="13"/>
      <c r="L10" s="12"/>
    </row>
    <row r="11" spans="1:12" ht="24" customHeight="1" x14ac:dyDescent="0.2">
      <c r="A11" s="5">
        <v>1</v>
      </c>
      <c r="B11" s="14" t="s">
        <v>18</v>
      </c>
      <c r="C11" s="14"/>
      <c r="D11" s="14"/>
      <c r="E11" s="14"/>
      <c r="F11" s="14"/>
      <c r="G11" s="14"/>
      <c r="H11" s="14"/>
      <c r="I11" s="14"/>
      <c r="J11" s="14"/>
      <c r="K11" s="14"/>
      <c r="L11" s="8">
        <v>4.7999999999999996E-3</v>
      </c>
    </row>
    <row r="12" spans="1:12" x14ac:dyDescent="0.2">
      <c r="A12" s="5"/>
      <c r="B12" s="15" t="s">
        <v>12</v>
      </c>
      <c r="C12" s="14"/>
      <c r="D12" s="14"/>
      <c r="E12" s="14"/>
      <c r="F12" s="14"/>
      <c r="G12" s="14"/>
      <c r="H12" s="14"/>
      <c r="I12" s="14"/>
      <c r="J12" s="14"/>
      <c r="K12" s="14"/>
      <c r="L12" s="6">
        <f>L11</f>
        <v>4.7999999999999996E-3</v>
      </c>
    </row>
    <row r="13" spans="1:12" ht="24" customHeight="1" x14ac:dyDescent="0.2">
      <c r="A13" s="2" t="s">
        <v>19</v>
      </c>
      <c r="B13" s="13" t="s">
        <v>20</v>
      </c>
      <c r="C13" s="13"/>
      <c r="D13" s="13"/>
      <c r="E13" s="13"/>
      <c r="F13" s="13"/>
      <c r="G13" s="13"/>
      <c r="H13" s="13"/>
      <c r="I13" s="13"/>
      <c r="J13" s="13"/>
      <c r="K13" s="13"/>
      <c r="L13" s="12"/>
    </row>
    <row r="14" spans="1:12" ht="24" customHeight="1" x14ac:dyDescent="0.2">
      <c r="A14" s="5">
        <v>1</v>
      </c>
      <c r="B14" s="14" t="s">
        <v>21</v>
      </c>
      <c r="C14" s="14"/>
      <c r="D14" s="14"/>
      <c r="E14" s="14"/>
      <c r="F14" s="14"/>
      <c r="G14" s="14"/>
      <c r="H14" s="14"/>
      <c r="I14" s="14"/>
      <c r="J14" s="14"/>
      <c r="K14" s="14"/>
      <c r="L14" s="8">
        <v>8.5000000000000006E-3</v>
      </c>
    </row>
    <row r="15" spans="1:12" x14ac:dyDescent="0.2">
      <c r="A15" s="5"/>
      <c r="B15" s="15" t="s">
        <v>12</v>
      </c>
      <c r="C15" s="14"/>
      <c r="D15" s="14"/>
      <c r="E15" s="14"/>
      <c r="F15" s="14"/>
      <c r="G15" s="14"/>
      <c r="H15" s="14"/>
      <c r="I15" s="14"/>
      <c r="J15" s="14"/>
      <c r="K15" s="14"/>
      <c r="L15" s="6">
        <f>L14</f>
        <v>8.5000000000000006E-3</v>
      </c>
    </row>
    <row r="16" spans="1:12" ht="24" customHeight="1" x14ac:dyDescent="0.2">
      <c r="A16" s="2" t="s">
        <v>22</v>
      </c>
      <c r="B16" s="13" t="s">
        <v>23</v>
      </c>
      <c r="C16" s="13"/>
      <c r="D16" s="13"/>
      <c r="E16" s="13"/>
      <c r="F16" s="13"/>
      <c r="G16" s="13"/>
      <c r="H16" s="13"/>
      <c r="I16" s="13"/>
      <c r="J16" s="13"/>
      <c r="K16" s="13"/>
      <c r="L16" s="12"/>
    </row>
    <row r="17" spans="1:14" ht="24" customHeight="1" x14ac:dyDescent="0.2">
      <c r="A17" s="5">
        <v>1</v>
      </c>
      <c r="B17" s="14" t="s">
        <v>24</v>
      </c>
      <c r="C17" s="14"/>
      <c r="D17" s="14"/>
      <c r="E17" s="14"/>
      <c r="F17" s="14"/>
      <c r="G17" s="14"/>
      <c r="H17" s="14"/>
      <c r="I17" s="14"/>
      <c r="J17" s="14"/>
      <c r="K17" s="14"/>
      <c r="L17" s="8">
        <v>0.06</v>
      </c>
    </row>
    <row r="18" spans="1:14" x14ac:dyDescent="0.2">
      <c r="A18" s="5"/>
      <c r="B18" s="15" t="s">
        <v>12</v>
      </c>
      <c r="C18" s="14"/>
      <c r="D18" s="14"/>
      <c r="E18" s="14"/>
      <c r="F18" s="14"/>
      <c r="G18" s="14"/>
      <c r="H18" s="14"/>
      <c r="I18" s="14"/>
      <c r="J18" s="14"/>
      <c r="K18" s="14"/>
      <c r="L18" s="6">
        <f>L17</f>
        <v>0.06</v>
      </c>
    </row>
    <row r="19" spans="1:14" ht="26.1" customHeight="1" x14ac:dyDescent="0.2">
      <c r="A19" s="2" t="s">
        <v>25</v>
      </c>
      <c r="B19" s="13" t="s">
        <v>26</v>
      </c>
      <c r="C19" s="13"/>
      <c r="D19" s="13"/>
      <c r="E19" s="13"/>
      <c r="F19" s="13"/>
      <c r="G19" s="13"/>
      <c r="H19" s="13"/>
      <c r="I19" s="13"/>
      <c r="J19" s="13"/>
      <c r="K19" s="13"/>
      <c r="L19" s="12"/>
    </row>
    <row r="20" spans="1:14" ht="24" customHeight="1" x14ac:dyDescent="0.2">
      <c r="A20" s="5">
        <v>1</v>
      </c>
      <c r="B20" s="14" t="s">
        <v>27</v>
      </c>
      <c r="C20" s="14"/>
      <c r="D20" s="14"/>
      <c r="E20" s="14"/>
      <c r="F20" s="14"/>
      <c r="G20" s="14"/>
      <c r="H20" s="14"/>
      <c r="I20" s="14"/>
      <c r="J20" s="14"/>
      <c r="K20" s="14"/>
      <c r="L20" s="8">
        <v>0.05</v>
      </c>
    </row>
    <row r="21" spans="1:14" ht="24" customHeight="1" x14ac:dyDescent="0.2">
      <c r="A21" s="5">
        <v>2</v>
      </c>
      <c r="B21" s="14" t="s">
        <v>28</v>
      </c>
      <c r="C21" s="14"/>
      <c r="D21" s="14"/>
      <c r="E21" s="14"/>
      <c r="F21" s="14"/>
      <c r="G21" s="14"/>
      <c r="H21" s="14"/>
      <c r="I21" s="14"/>
      <c r="J21" s="14"/>
      <c r="K21" s="14"/>
      <c r="L21" s="8">
        <v>0.03</v>
      </c>
    </row>
    <row r="22" spans="1:14" ht="24" customHeight="1" x14ac:dyDescent="0.2">
      <c r="A22" s="5">
        <v>3</v>
      </c>
      <c r="B22" s="14" t="s">
        <v>29</v>
      </c>
      <c r="C22" s="14"/>
      <c r="D22" s="14"/>
      <c r="E22" s="14"/>
      <c r="F22" s="14"/>
      <c r="G22" s="14"/>
      <c r="H22" s="14"/>
      <c r="I22" s="14"/>
      <c r="J22" s="14"/>
      <c r="K22" s="14"/>
      <c r="L22" s="8">
        <v>6.4999999999999997E-3</v>
      </c>
    </row>
    <row r="23" spans="1:14" ht="24" customHeight="1" x14ac:dyDescent="0.2">
      <c r="A23" s="5">
        <v>4</v>
      </c>
      <c r="B23" s="14" t="s">
        <v>30</v>
      </c>
      <c r="C23" s="14"/>
      <c r="D23" s="14"/>
      <c r="E23" s="14"/>
      <c r="F23" s="14"/>
      <c r="G23" s="14"/>
      <c r="H23" s="14"/>
      <c r="I23" s="14"/>
      <c r="J23" s="14"/>
      <c r="K23" s="14"/>
      <c r="L23" s="8">
        <v>1.7999999999999999E-2</v>
      </c>
    </row>
    <row r="24" spans="1:14" x14ac:dyDescent="0.2">
      <c r="A24" s="5"/>
      <c r="B24" s="15" t="s">
        <v>12</v>
      </c>
      <c r="C24" s="14"/>
      <c r="D24" s="14"/>
      <c r="E24" s="14"/>
      <c r="F24" s="14"/>
      <c r="G24" s="14"/>
      <c r="H24" s="14"/>
      <c r="I24" s="14"/>
      <c r="J24" s="14"/>
      <c r="K24" s="14"/>
      <c r="L24" s="6">
        <f>SUM(L20:L23)</f>
        <v>0.10450000000000001</v>
      </c>
      <c r="N24" s="7"/>
    </row>
    <row r="25" spans="1:14" ht="24" customHeight="1" x14ac:dyDescent="0.2">
      <c r="A25" s="2" t="s">
        <v>31</v>
      </c>
      <c r="B25" s="13" t="s">
        <v>32</v>
      </c>
      <c r="C25" s="13"/>
      <c r="D25" s="13"/>
      <c r="E25" s="13"/>
      <c r="F25" s="13"/>
      <c r="G25" s="13"/>
      <c r="H25" s="13"/>
      <c r="I25" s="13"/>
      <c r="J25" s="13"/>
      <c r="K25" s="13"/>
      <c r="L25" s="12"/>
    </row>
    <row r="26" spans="1:14" x14ac:dyDescent="0.2">
      <c r="A26" s="5"/>
      <c r="B26" s="15" t="s">
        <v>12</v>
      </c>
      <c r="C26" s="14"/>
      <c r="D26" s="14"/>
      <c r="E26" s="14"/>
      <c r="F26" s="14"/>
      <c r="G26" s="14"/>
      <c r="H26" s="14"/>
      <c r="I26" s="14"/>
      <c r="J26" s="14"/>
      <c r="K26" s="14"/>
      <c r="L26" s="4" t="s">
        <v>33</v>
      </c>
    </row>
    <row r="27" spans="1:14" ht="24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2"/>
    </row>
    <row r="28" spans="1:14" ht="24" customHeight="1" x14ac:dyDescent="0.2">
      <c r="A28" s="13" t="s">
        <v>34</v>
      </c>
      <c r="B28" s="13"/>
      <c r="C28" s="13"/>
      <c r="D28" s="13"/>
      <c r="E28" s="13"/>
      <c r="F28" s="13"/>
      <c r="G28" s="13"/>
      <c r="H28" s="13"/>
      <c r="I28" s="17" t="s">
        <v>35</v>
      </c>
      <c r="J28" s="13"/>
      <c r="K28" s="13"/>
      <c r="L28" s="12"/>
    </row>
    <row r="29" spans="1:14" ht="24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2"/>
    </row>
    <row r="30" spans="1:14" ht="24" customHeight="1" x14ac:dyDescent="0.2">
      <c r="A30" s="16" t="s">
        <v>36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6">
        <f>(((1+L6+L9+L12)*(1+L15)*(1+L18)/(1-L24))-1)</f>
        <v>0.24998366387493021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51181102362204722" right="0.51181102362204722" top="0.98425196850393704" bottom="0.98425196850393704" header="0.51181102362204722" footer="0.51181102362204722"/>
  <pageSetup paperSize="9" scale="70" orientation="landscape" r:id="rId1"/>
  <headerFooter>
    <oddHeader>&amp;L &amp;C &amp;R</oddHeader>
    <oddFooter>&amp;L &amp;C &amp;R</oddFooter>
  </headerFooter>
  <ignoredErrors>
    <ignoredError sqref="L26 F2 B7:L7 B25:L25 B24:K24 B23:K23 B20:K20 B21:K21 B22:K22 B6:K6 B10:L10 B9:K9 B13:L13 B12:K12 B16:L16 B15:K15 B19:L19 B18:K18 B8:K8 B11:K11 B14:K14 B17:K1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Composição BDI</vt:lpstr>
      <vt:lpstr>'Composição BDI'!Area_de_impressao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2026-07-31T15:11:13Z</cp:lastPrinted>
  <dcterms:created xsi:type="dcterms:W3CDTF">2026-07-31T14:08:21Z</dcterms:created>
  <dcterms:modified xsi:type="dcterms:W3CDTF">2026-07-31T15:11:17Z</dcterms:modified>
</cp:coreProperties>
</file>